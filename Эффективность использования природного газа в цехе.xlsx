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solver_adj" localSheetId="0" hidden="1">Лист1!$B$20:$F$20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Лист1!$B$20:$F$20</definedName>
    <definedName name="solver_lhs2" localSheetId="0" hidden="1">Лист1!$B$20:$F$20</definedName>
    <definedName name="solver_lhs3" localSheetId="0" hidden="1">Лист1!$B$21:$F$21</definedName>
    <definedName name="solver_lhs4" localSheetId="0" hidden="1">Лист1!$B$21:$F$21</definedName>
    <definedName name="solver_lhs5" localSheetId="0" hidden="1">Лист1!$G$20</definedName>
    <definedName name="solver_lhs6" localSheetId="0" hidden="1">Лист1!$G$22</definedName>
    <definedName name="solver_lhs7" localSheetId="0" hidden="1">Лист1!$G$23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Лист1!$G$24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el7" localSheetId="0" hidden="1">3</definedName>
    <definedName name="solver_rhs1" localSheetId="0" hidden="1">Лист1!$B$6:$F$6</definedName>
    <definedName name="solver_rhs2" localSheetId="0" hidden="1">Лист1!$B$5:$F$5</definedName>
    <definedName name="solver_rhs3" localSheetId="0" hidden="1">Лист1!$B$12:$F$12</definedName>
    <definedName name="solver_rhs4" localSheetId="0" hidden="1">Лист1!$B$11:$F$11</definedName>
    <definedName name="solver_rhs5" localSheetId="0" hidden="1">Лист1!$B$31</definedName>
    <definedName name="solver_rhs6" localSheetId="0" hidden="1">Лист1!$B$32</definedName>
    <definedName name="solver_rhs7" localSheetId="0" hidden="1">Лист1!$B$33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B24" i="1"/>
  <c r="C23" i="1"/>
  <c r="D23" i="1"/>
  <c r="E23" i="1"/>
  <c r="F23" i="1"/>
  <c r="B23" i="1"/>
  <c r="C22" i="1"/>
  <c r="C21" i="1" s="1"/>
  <c r="D22" i="1"/>
  <c r="D21" i="1" s="1"/>
  <c r="E22" i="1"/>
  <c r="E21" i="1" s="1"/>
  <c r="F22" i="1"/>
  <c r="F21" i="1" s="1"/>
  <c r="B22" i="1"/>
  <c r="G20" i="1"/>
  <c r="G24" i="1" l="1"/>
  <c r="G22" i="1"/>
  <c r="G23" i="1"/>
  <c r="B21" i="1"/>
</calcChain>
</file>

<file path=xl/sharedStrings.xml><?xml version="1.0" encoding="utf-8"?>
<sst xmlns="http://schemas.openxmlformats.org/spreadsheetml/2006/main" count="30" uniqueCount="30">
  <si>
    <t>Технологический параметр, ед. изм.</t>
  </si>
  <si>
    <t>Доменные печи</t>
  </si>
  <si>
    <r>
      <t>Расход природного газа в базовом периоде,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</si>
  <si>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r>
      <t>Минимально допустимый расход природного газа,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</si>
  <si>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r>
      <t>Максимально допустимый расход природного газа,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</si>
  <si>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t>Расход кокса в базовом периоде, т/ч</t>
  </si>
  <si>
    <r>
      <t>Эквивалент замены кокса в базовом периоде, кг кокса /(м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ПГ)</t>
    </r>
  </si>
  <si>
    <t>Производительность по чугуну в базовом периоде, т /ч</t>
  </si>
  <si>
    <t>Содержание S в чугуне в базовом периоде, %</t>
  </si>
  <si>
    <t>Минимально допустимое [S], %</t>
  </si>
  <si>
    <t>Максимально допустимое [S], %</t>
  </si>
  <si>
    <t>Коэффициенты</t>
  </si>
  <si>
    <r>
      <t>Изменение производства чугуна при изменении ПГ, т чуг/(м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ПГ)</t>
    </r>
  </si>
  <si>
    <t>Изменение производства чугуна при увеличении расхода кокса, т чуг/(кг кокса)</t>
  </si>
  <si>
    <r>
      <t>Изменение [S] при увеличении расхода ПГ на 1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</si>
  <si>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t>Изменение [S] при увеличении расхода кокса на 1 кг/ч</t>
  </si>
  <si>
    <t>Изменение [S] при увеличении производительности печи на 1 т чуг/ч</t>
  </si>
  <si>
    <t>Наименование показателя, ед. изм.</t>
  </si>
  <si>
    <t>Величина</t>
  </si>
  <si>
    <t>Стоимость кокса, руб/(кг кокса)</t>
  </si>
  <si>
    <r>
      <t>Стоимость природного газа, руб/(м</t>
    </r>
    <r>
      <rPr>
        <vertAlign val="super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 xml:space="preserve"> ПГ)</t>
    </r>
  </si>
  <si>
    <r>
      <t>Резерв по расходу природного газа в целом по цеху, м</t>
    </r>
    <r>
      <rPr>
        <vertAlign val="super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 xml:space="preserve">/ч </t>
    </r>
  </si>
  <si>
    <t>Запасы кокса по цеху, т/ч</t>
  </si>
  <si>
    <t>Требуемое производство чугуна в цехе, т/ч</t>
  </si>
  <si>
    <t>Вариант 4</t>
  </si>
  <si>
    <t>Оптимальный расход природного газа</t>
  </si>
  <si>
    <t>Содержание S в чугуне в проектном периоде</t>
  </si>
  <si>
    <t>Расход кокса в проектном периоде</t>
  </si>
  <si>
    <t>Производство чугуна в проектном периоде</t>
  </si>
  <si>
    <t>Целевая 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</si>
</sst>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right" vertical="center"/>
    </xf>
    <xf numFmtId="0" fontId="1" fillId="0" borderId="8" xfId="0" applyFont="1" applyBorder="1" applyAlignment="1">
      <alignment horizontal="center"/>
    </xf>
    <xf numFmtId="168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1" fillId="2" borderId="0" xfId="0" applyFont="1" applyFill="1"/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Font="1"/>
    <xf numFmtId="0" fontId="1" fillId="0" borderId="0" xfId="0" applyFont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L23" sqref="L23"/>
    </sheetView>
  </sheetViews>
  <sheetFormatPr defaultRowHeight="15" x14ac:dyDescent="0.25"/>
  <cols>
    <col min="1" max="1" width="74.7109375" bestFit="1" customWidth="1"/>
    <col min="2" max="2" width="12.28515625" bestFit="1" customWidth="1"/>
    <col min="3" max="4" width="10.7109375" bestFit="1" customWidth="1"/>
    <col min="5" max="5" width="11.7109375" bestFit="1" customWidth="1"/>
    <col min="6" max="6" width="10.7109375" bestFit="1" customWidth="1"/>
    <col min="7" max="7" width="15.5703125" bestFit="1" customWidth="1"/>
  </cols>
  <sheetData>
    <row r="1" spans="1:6" ht="15.75" thickBot="1" x14ac:dyDescent="0.3">
      <c r="A1" s="14" t="s">
        <v>24</v>
      </c>
      <c r="B1" s="14"/>
      <c r="C1" s="14"/>
      <c r="D1" s="14"/>
      <c r="E1" s="14"/>
      <c r="F1" s="14"/>
    </row>
    <row r="2" spans="1:6" ht="15.75" thickBot="1" x14ac:dyDescent="0.3">
      <c r="A2" s="5" t="s">
        <v>0</v>
      </c>
      <c r="B2" s="8" t="s">
        <v>1</v>
      </c>
      <c r="C2" s="7"/>
      <c r="D2" s="7"/>
      <c r="E2" s="7"/>
      <c r="F2" s="9"/>
    </row>
    <row r="3" spans="1:6" ht="15.75" thickBot="1" x14ac:dyDescent="0.3">
      <c r="A3" s="6"/>
      <c r="B3" s="1">
        <v>1</v>
      </c>
      <c r="C3" s="1">
        <v>2</v>
      </c>
      <c r="D3" s="1">
        <v>3</v>
      </c>
      <c r="E3" s="1">
        <v>4</v>
      </c>
      <c r="F3" s="1">
        <v>5</v>
      </c>
    </row>
    <row r="4" spans="1:6" ht="18.75" thickBot="1" x14ac:dyDescent="0.3">
      <c r="A4" s="2" t="s">
        <v>2</v>
      </c>
      <c r="B4" s="3">
        <v>15000</v>
      </c>
      <c r="C4" s="3">
        <v>17000</v>
      </c>
      <c r="D4" s="3">
        <v>11000</v>
      </c>
      <c r="E4" s="3">
        <v>13000</v>
      </c>
      <c r="F4" s="3">
        <v>12000</v>
      </c>
    </row>
    <row r="5" spans="1:6" ht="18.75" thickBot="1" x14ac:dyDescent="0.3">
      <c r="A5" s="2" t="s">
        <v>3</v>
      </c>
      <c r="B5" s="3">
        <v>10000</v>
      </c>
      <c r="C5" s="3">
        <v>10000</v>
      </c>
      <c r="D5" s="3">
        <v>10000</v>
      </c>
      <c r="E5" s="3">
        <v>10000</v>
      </c>
      <c r="F5" s="3">
        <v>10000</v>
      </c>
    </row>
    <row r="6" spans="1:6" ht="18.75" thickBot="1" x14ac:dyDescent="0.3">
      <c r="A6" s="2" t="s">
        <v>4</v>
      </c>
      <c r="B6" s="3">
        <v>20000</v>
      </c>
      <c r="C6" s="3">
        <v>20000</v>
      </c>
      <c r="D6" s="3">
        <v>20000</v>
      </c>
      <c r="E6" s="3">
        <v>20000</v>
      </c>
      <c r="F6" s="3">
        <v>20000</v>
      </c>
    </row>
    <row r="7" spans="1:6" ht="15.75" thickBot="1" x14ac:dyDescent="0.3">
      <c r="A7" s="2" t="s">
        <v>5</v>
      </c>
      <c r="B7" s="3">
        <v>64.25</v>
      </c>
      <c r="C7" s="3">
        <v>66.760000000000005</v>
      </c>
      <c r="D7" s="3">
        <v>56.08</v>
      </c>
      <c r="E7" s="3">
        <v>49.78</v>
      </c>
      <c r="F7" s="3">
        <v>62.92</v>
      </c>
    </row>
    <row r="8" spans="1:6" ht="18.75" thickBot="1" x14ac:dyDescent="0.3">
      <c r="A8" s="2" t="s">
        <v>6</v>
      </c>
      <c r="B8" s="3">
        <v>0.59</v>
      </c>
      <c r="C8" s="3">
        <v>0.53</v>
      </c>
      <c r="D8" s="3">
        <v>0.85</v>
      </c>
      <c r="E8" s="3">
        <v>0.59</v>
      </c>
      <c r="F8" s="3">
        <v>0.75</v>
      </c>
    </row>
    <row r="9" spans="1:6" ht="15.75" thickBot="1" x14ac:dyDescent="0.3">
      <c r="A9" s="2" t="s">
        <v>7</v>
      </c>
      <c r="B9" s="3">
        <v>146.4</v>
      </c>
      <c r="C9" s="3">
        <v>136.4</v>
      </c>
      <c r="D9" s="3">
        <v>134.30000000000001</v>
      </c>
      <c r="E9" s="3">
        <v>122.3</v>
      </c>
      <c r="F9" s="3">
        <v>138.19999999999999</v>
      </c>
    </row>
    <row r="10" spans="1:6" ht="15.75" thickBot="1" x14ac:dyDescent="0.3">
      <c r="A10" s="2" t="s">
        <v>8</v>
      </c>
      <c r="B10" s="3">
        <v>1.4999999999999999E-2</v>
      </c>
      <c r="C10" s="3">
        <v>1.4E-2</v>
      </c>
      <c r="D10" s="3">
        <v>1.2999999999999999E-2</v>
      </c>
      <c r="E10" s="3">
        <v>1.4E-2</v>
      </c>
      <c r="F10" s="3">
        <v>1.7000000000000001E-2</v>
      </c>
    </row>
    <row r="11" spans="1:6" ht="15.75" thickBot="1" x14ac:dyDescent="0.3">
      <c r="A11" s="2" t="s">
        <v>9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</row>
    <row r="12" spans="1:6" ht="15.75" thickBot="1" x14ac:dyDescent="0.3">
      <c r="A12" s="2" t="s">
        <v>10</v>
      </c>
      <c r="B12" s="3">
        <v>2.5000000000000001E-2</v>
      </c>
      <c r="C12" s="3">
        <v>2.5000000000000001E-2</v>
      </c>
      <c r="D12" s="3">
        <v>2.5000000000000001E-2</v>
      </c>
      <c r="E12" s="3">
        <v>2.5000000000000001E-2</v>
      </c>
      <c r="F12" s="3">
        <v>2.5000000000000001E-2</v>
      </c>
    </row>
    <row r="13" spans="1:6" ht="15.75" thickBot="1" x14ac:dyDescent="0.3">
      <c r="A13" s="4" t="s">
        <v>11</v>
      </c>
      <c r="B13" s="1"/>
      <c r="C13" s="1"/>
      <c r="D13" s="1"/>
      <c r="E13" s="1"/>
      <c r="F13" s="1"/>
    </row>
    <row r="14" spans="1:6" ht="18.75" thickBot="1" x14ac:dyDescent="0.3">
      <c r="A14" s="2" t="s">
        <v>12</v>
      </c>
      <c r="B14" s="3">
        <v>-7.2950000000000001E-4</v>
      </c>
      <c r="C14" s="3">
        <v>-6.6949999999999996E-4</v>
      </c>
      <c r="D14" s="3">
        <v>0</v>
      </c>
      <c r="E14" s="3">
        <v>-7.2373000000000001E-4</v>
      </c>
      <c r="F14" s="3">
        <v>-7.7240000000000002E-4</v>
      </c>
    </row>
    <row r="15" spans="1:6" ht="15.75" thickBot="1" x14ac:dyDescent="0.3">
      <c r="A15" s="2" t="s">
        <v>13</v>
      </c>
      <c r="B15" s="3">
        <v>-2.97E-3</v>
      </c>
      <c r="C15" s="3">
        <v>-2.97E-3</v>
      </c>
      <c r="D15" s="3">
        <v>-2.928E-3</v>
      </c>
      <c r="E15" s="3">
        <v>-2.8969999999999998E-3</v>
      </c>
      <c r="F15" s="3">
        <v>-2.97E-3</v>
      </c>
    </row>
    <row r="16" spans="1:6" ht="18.75" thickBot="1" x14ac:dyDescent="0.3">
      <c r="A16" s="2" t="s">
        <v>14</v>
      </c>
      <c r="B16" s="3">
        <v>-3.4000000000000001E-6</v>
      </c>
      <c r="C16" s="3">
        <v>-3.4000000000000001E-6</v>
      </c>
      <c r="D16" s="3">
        <v>-3.4999999999999999E-6</v>
      </c>
      <c r="E16" s="3">
        <v>-3.3000000000000002E-6</v>
      </c>
      <c r="F16" s="3">
        <v>-3.4000000000000001E-6</v>
      </c>
    </row>
    <row r="17" spans="1:7" ht="15.75" thickBot="1" x14ac:dyDescent="0.3">
      <c r="A17" s="2" t="s">
        <v>15</v>
      </c>
      <c r="B17" s="3">
        <v>-3.0000000000000001E-6</v>
      </c>
      <c r="C17" s="3">
        <v>-2.9000000000000002E-6</v>
      </c>
      <c r="D17" s="3">
        <v>-3.1999999999999999E-6</v>
      </c>
      <c r="E17" s="3">
        <v>-2.9000000000000002E-6</v>
      </c>
      <c r="F17" s="3">
        <v>-3.1E-6</v>
      </c>
    </row>
    <row r="18" spans="1:7" ht="15.75" thickBot="1" x14ac:dyDescent="0.3">
      <c r="A18" s="2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</row>
    <row r="20" spans="1:7" x14ac:dyDescent="0.25">
      <c r="A20" s="20" t="s">
        <v>25</v>
      </c>
      <c r="B20" s="19">
        <v>12057.291590009401</v>
      </c>
      <c r="C20" s="18">
        <v>13763.242677641179</v>
      </c>
      <c r="D20" s="18">
        <v>13195.388323802337</v>
      </c>
      <c r="E20" s="18">
        <v>10000</v>
      </c>
      <c r="F20" s="18">
        <v>10000</v>
      </c>
      <c r="G20" s="21">
        <f>SUM(B20:F20)</f>
        <v>59015.922591452923</v>
      </c>
    </row>
    <row r="21" spans="1:7" x14ac:dyDescent="0.25">
      <c r="A21" s="20" t="s">
        <v>26</v>
      </c>
      <c r="B21" s="22">
        <f>B10+B16*(B20-B4)+B17*(B22-B7)</f>
        <v>2.5000000000082352E-2</v>
      </c>
      <c r="C21" s="22">
        <f t="shared" ref="C21:F21" si="0">C10+C16*(C20-C4)+C17*(C22-C7)</f>
        <v>2.5000000000015524E-2</v>
      </c>
      <c r="D21" s="22">
        <f t="shared" si="0"/>
        <v>5.3221123229325621E-3</v>
      </c>
      <c r="E21" s="22">
        <f t="shared" si="0"/>
        <v>2.3894867E-2</v>
      </c>
      <c r="F21" s="22">
        <f t="shared" si="0"/>
        <v>2.3795350000000003E-2</v>
      </c>
      <c r="G21" s="21"/>
    </row>
    <row r="22" spans="1:7" x14ac:dyDescent="0.25">
      <c r="A22" s="20" t="s">
        <v>27</v>
      </c>
      <c r="B22" s="22">
        <f>B7+0.001*(B4-B20)*B8</f>
        <v>65.986197961894447</v>
      </c>
      <c r="C22" s="22">
        <f t="shared" ref="C22:F22" si="1">C7+0.001*(C4-C20)*C8</f>
        <v>68.475481380850184</v>
      </c>
      <c r="D22" s="22">
        <f t="shared" si="1"/>
        <v>54.213919924768014</v>
      </c>
      <c r="E22" s="22">
        <f t="shared" si="1"/>
        <v>51.550000000000004</v>
      </c>
      <c r="F22" s="22">
        <f t="shared" si="1"/>
        <v>64.42</v>
      </c>
      <c r="G22" s="23">
        <f>SUM(B22:F22)</f>
        <v>304.64559926751264</v>
      </c>
    </row>
    <row r="23" spans="1:7" x14ac:dyDescent="0.25">
      <c r="A23" s="20" t="s">
        <v>28</v>
      </c>
      <c r="B23" s="22">
        <f>B9+(B20-B4)*B14+(B20-B4)*B8*B15</f>
        <v>153.70321373191467</v>
      </c>
      <c r="C23" s="22">
        <f t="shared" ref="C23:F23" si="2">C9+(C20-C4)*C14+(C20-C4)*C8*C15</f>
        <v>143.66198872844427</v>
      </c>
      <c r="D23" s="22">
        <f t="shared" si="2"/>
        <v>128.83611753972076</v>
      </c>
      <c r="E23" s="22">
        <f t="shared" si="2"/>
        <v>129.59887999999998</v>
      </c>
      <c r="F23" s="22">
        <f t="shared" si="2"/>
        <v>144.19980000000001</v>
      </c>
      <c r="G23" s="23">
        <f>SUM(B23:F23)</f>
        <v>700.00000000007969</v>
      </c>
    </row>
    <row r="24" spans="1:7" x14ac:dyDescent="0.25">
      <c r="A24" s="20" t="s">
        <v>29</v>
      </c>
      <c r="B24" s="22">
        <f>(0.5*(B8*$B29-$B30)+0.5*(B14-B8*B15))*B20</f>
        <v>2791.4004562113028</v>
      </c>
      <c r="C24" s="22">
        <f t="shared" ref="C24:F24" si="3">(0.5*(C8*$B29-$B30)+0.5*(C14-C8*C15))*C20</f>
        <v>2442.3190686055864</v>
      </c>
      <c r="D24" s="22">
        <f t="shared" si="3"/>
        <v>6152.2759117982268</v>
      </c>
      <c r="E24" s="22">
        <f t="shared" si="3"/>
        <v>2314.9275000000002</v>
      </c>
      <c r="F24" s="22">
        <f t="shared" si="3"/>
        <v>3757.2755000000006</v>
      </c>
      <c r="G24" s="24">
        <f>SUM(B24:F24)</f>
        <v>17458.198436615115</v>
      </c>
    </row>
    <row r="25" spans="1:7" ht="18.75" x14ac:dyDescent="0.25">
      <c r="A25" s="16"/>
      <c r="B25" s="17"/>
    </row>
    <row r="27" spans="1:7" ht="15.75" thickBot="1" x14ac:dyDescent="0.3"/>
    <row r="28" spans="1:7" ht="19.5" thickBot="1" x14ac:dyDescent="0.3">
      <c r="A28" s="10" t="s">
        <v>17</v>
      </c>
      <c r="B28" s="11" t="s">
        <v>18</v>
      </c>
    </row>
    <row r="29" spans="1:7" ht="19.5" thickBot="1" x14ac:dyDescent="0.3">
      <c r="A29" s="12" t="s">
        <v>19</v>
      </c>
      <c r="B29" s="13">
        <v>1.8</v>
      </c>
    </row>
    <row r="30" spans="1:7" ht="23.25" thickBot="1" x14ac:dyDescent="0.3">
      <c r="A30" s="12" t="s">
        <v>20</v>
      </c>
      <c r="B30" s="13">
        <v>0.6</v>
      </c>
    </row>
    <row r="31" spans="1:7" ht="23.25" thickBot="1" x14ac:dyDescent="0.3">
      <c r="A31" s="12" t="s">
        <v>21</v>
      </c>
      <c r="B31" s="13">
        <v>80000</v>
      </c>
    </row>
    <row r="32" spans="1:7" ht="19.5" thickBot="1" x14ac:dyDescent="0.3">
      <c r="A32" s="12" t="s">
        <v>22</v>
      </c>
      <c r="B32" s="13">
        <v>350</v>
      </c>
    </row>
    <row r="33" spans="1:2" ht="19.5" thickBot="1" x14ac:dyDescent="0.3">
      <c r="A33" s="12" t="s">
        <v>23</v>
      </c>
      <c r="B33" s="13">
        <v>700</v>
      </c>
    </row>
  </sheetData>
  <mergeCells count="3">
    <mergeCell ref="A2:A3"/>
    <mergeCell ref="B2:F2"/>
    <mergeCell ref="A1:F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2026-04-15T18:22:24Z</dcterms:modified>
</cp:coreProperties>
</file>